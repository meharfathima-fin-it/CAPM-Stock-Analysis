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har\Documents\"/>
    </mc:Choice>
  </mc:AlternateContent>
  <xr:revisionPtr revIDLastSave="0" documentId="8_{45B4864C-4908-4FCB-81FB-1B1160DA9525}" xr6:coauthVersionLast="47" xr6:coauthVersionMax="47" xr10:uidLastSave="{00000000-0000-0000-0000-000000000000}"/>
  <bookViews>
    <workbookView xWindow="-110" yWindow="-110" windowWidth="19420" windowHeight="10300" activeTab="6" xr2:uid="{86CC71B8-6074-44A1-B62B-C8D75C4520EE}"/>
  </bookViews>
  <sheets>
    <sheet name="Reliance" sheetId="1" r:id="rId1"/>
    <sheet name="TCS" sheetId="2" r:id="rId2"/>
    <sheet name="HDFC Bank" sheetId="3" r:id="rId3"/>
    <sheet name="Infosys" sheetId="4" r:id="rId4"/>
    <sheet name="ICICI Bank" sheetId="5" r:id="rId5"/>
    <sheet name="NIFTY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6" l="1"/>
  <c r="C2" i="1"/>
  <c r="C2" i="2"/>
  <c r="C2" i="3"/>
  <c r="E4" i="3" s="1"/>
  <c r="C2" i="5"/>
  <c r="C2" i="4"/>
  <c r="E2" i="4" s="1"/>
  <c r="E3" i="4" s="1"/>
  <c r="E4" i="1"/>
  <c r="E4" i="2"/>
  <c r="E4" i="4"/>
  <c r="E4" i="5"/>
  <c r="E3" i="6"/>
  <c r="E2" i="6"/>
  <c r="E2" i="5"/>
  <c r="E3" i="5" s="1"/>
  <c r="E2" i="3"/>
  <c r="E3" i="3" s="1"/>
  <c r="E2" i="2"/>
  <c r="E3" i="2" s="1"/>
  <c r="E2" i="1"/>
  <c r="E3" i="1" s="1"/>
  <c r="C3" i="1"/>
  <c r="C4" i="1"/>
  <c r="C5" i="1"/>
  <c r="C6" i="1"/>
  <c r="C7" i="1"/>
  <c r="C8" i="1"/>
  <c r="C9" i="1"/>
  <c r="C10" i="1"/>
  <c r="C11" i="1"/>
  <c r="C12" i="1"/>
  <c r="C13" i="1"/>
  <c r="C3" i="2"/>
  <c r="C4" i="2"/>
  <c r="C5" i="2"/>
  <c r="C6" i="2"/>
  <c r="C7" i="2"/>
  <c r="C8" i="2"/>
  <c r="C9" i="2"/>
  <c r="C10" i="2"/>
  <c r="C11" i="2"/>
  <c r="C12" i="2"/>
  <c r="C13" i="2"/>
  <c r="C3" i="3"/>
  <c r="C4" i="3"/>
  <c r="C5" i="3"/>
  <c r="C6" i="3"/>
  <c r="C7" i="3"/>
  <c r="C8" i="3"/>
  <c r="C9" i="3"/>
  <c r="C10" i="3"/>
  <c r="C11" i="3"/>
  <c r="C12" i="3"/>
  <c r="C13" i="3"/>
  <c r="C3" i="4"/>
  <c r="C4" i="4"/>
  <c r="C5" i="4"/>
  <c r="C6" i="4"/>
  <c r="C7" i="4"/>
  <c r="C8" i="4"/>
  <c r="C9" i="4"/>
  <c r="C10" i="4"/>
  <c r="C11" i="4"/>
  <c r="C12" i="4"/>
  <c r="C13" i="4"/>
  <c r="C3" i="5"/>
  <c r="C4" i="5"/>
  <c r="C5" i="5"/>
  <c r="C6" i="5"/>
  <c r="C7" i="5"/>
  <c r="C8" i="5"/>
  <c r="C9" i="5"/>
  <c r="C10" i="5"/>
  <c r="C11" i="5"/>
  <c r="C12" i="5"/>
  <c r="C13" i="5"/>
  <c r="C8" i="6"/>
  <c r="C9" i="6"/>
  <c r="C10" i="6"/>
  <c r="C11" i="6"/>
  <c r="C12" i="6"/>
  <c r="C13" i="6"/>
  <c r="C3" i="6"/>
  <c r="C4" i="6"/>
  <c r="C5" i="6"/>
  <c r="C6" i="6"/>
  <c r="C7" i="6"/>
</calcChain>
</file>

<file path=xl/sharedStrings.xml><?xml version="1.0" encoding="utf-8"?>
<sst xmlns="http://schemas.openxmlformats.org/spreadsheetml/2006/main" count="42" uniqueCount="15">
  <si>
    <t>Price</t>
  </si>
  <si>
    <t>Date</t>
  </si>
  <si>
    <t>Monthly Return</t>
  </si>
  <si>
    <t>beta</t>
  </si>
  <si>
    <t>expected return</t>
  </si>
  <si>
    <t>actual annual return</t>
  </si>
  <si>
    <t>Stock</t>
  </si>
  <si>
    <t>Beta</t>
  </si>
  <si>
    <t>Expected Return</t>
  </si>
  <si>
    <t>Actual Return</t>
  </si>
  <si>
    <t>Reliance</t>
  </si>
  <si>
    <t>TCS</t>
  </si>
  <si>
    <t>HDFC Bank</t>
  </si>
  <si>
    <t>Infosys</t>
  </si>
  <si>
    <t>ICICI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</si>
</sst>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1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BDB756-A19F-4ED0-A4F4-52DD0A137748}" name="Table1" displayName="Table1" ref="A1:D6" totalsRowShown="0">
  <autoFilter ref="A1:D6" xr:uid="{1BBDB756-A19F-4ED0-A4F4-52DD0A137748}"/>
  <tableColumns count="4">
    <tableColumn id="1" xr3:uid="{5EFFBC76-399D-4B08-B255-26CB329B1000}" name="Stock"/>
    <tableColumn id="2" xr3:uid="{AC99D4E0-FB73-4EE1-9E2F-887E0F1DAB93}" name="Beta"/>
    <tableColumn id="3" xr3:uid="{E2D429D1-D3B3-4A6B-B71C-1A6ACC0F85E9}" name="Expected Return"/>
    <tableColumn id="4" xr3:uid="{3B7E77BE-D2D8-49D1-96D4-983DB4A7E893}" name="Actual Return"/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2467D-5205-46F8-9A1E-22D3FBBCBE33}">
  <dimension ref="A1:F13"/>
  <sheetViews>
    <sheetView workbookViewId="0">
      <selection activeCell="E4" sqref="E4"/>
    </sheetView>
  </sheetViews>
  <sheetFormatPr defaultRowHeight="14.5" x14ac:dyDescent="0.35"/>
  <cols>
    <col min="1" max="1" width="11" customWidth="1"/>
    <col min="3" max="3" width="14" bestFit="1" customWidth="1"/>
    <col min="4" max="4" width="11.08984375" customWidth="1"/>
  </cols>
  <sheetData>
    <row r="1" spans="1:6" x14ac:dyDescent="0.35">
      <c r="A1" t="s">
        <v>1</v>
      </c>
      <c r="B1" t="s">
        <v>0</v>
      </c>
      <c r="C1" t="s">
        <v>2</v>
      </c>
    </row>
    <row r="2" spans="1:6" x14ac:dyDescent="0.35">
      <c r="A2" s="2">
        <v>46024</v>
      </c>
      <c r="B2" s="1">
        <v>1393.9</v>
      </c>
      <c r="C2">
        <f>(B3-B2)/B2</f>
        <v>1.076117368534328E-3</v>
      </c>
      <c r="E2">
        <f>_xlfn.COVARIANCE.S(C2:C12, NIFTY!C2:C12) / _xlfn.VAR.S(NIFTY!C2:C12)</f>
        <v>2.4616447528835605</v>
      </c>
      <c r="F2" t="s">
        <v>3</v>
      </c>
    </row>
    <row r="3" spans="1:6" x14ac:dyDescent="0.35">
      <c r="A3" s="2">
        <v>46023</v>
      </c>
      <c r="B3" s="1">
        <v>1395.4</v>
      </c>
      <c r="C3">
        <f t="shared" ref="C3:C13" si="0">(B3-B4)/B4</f>
        <v>-0.11143657666836475</v>
      </c>
      <c r="E3">
        <f>0.06 + (E2*(NIFTY!E3-0.06))</f>
        <v>0.15831395325480291</v>
      </c>
      <c r="F3" t="s">
        <v>4</v>
      </c>
    </row>
    <row r="4" spans="1:6" x14ac:dyDescent="0.35">
      <c r="A4" s="2">
        <v>45669</v>
      </c>
      <c r="B4" s="1">
        <v>1570.4</v>
      </c>
      <c r="C4">
        <f t="shared" si="0"/>
        <v>1.8500797448166449E-3</v>
      </c>
      <c r="E4">
        <f>AVERAGE(C2:C12)*12</f>
        <v>0.12302345188807737</v>
      </c>
      <c r="F4" t="s">
        <v>5</v>
      </c>
    </row>
    <row r="5" spans="1:6" x14ac:dyDescent="0.35">
      <c r="A5" s="2">
        <v>45668</v>
      </c>
      <c r="B5" s="1">
        <v>1567.5</v>
      </c>
      <c r="C5">
        <f t="shared" si="0"/>
        <v>5.4561356297093584E-2</v>
      </c>
    </row>
    <row r="6" spans="1:6" x14ac:dyDescent="0.35">
      <c r="A6" s="2">
        <v>45667</v>
      </c>
      <c r="B6" s="1">
        <v>1486.4</v>
      </c>
      <c r="C6">
        <f t="shared" si="0"/>
        <v>8.9736070381231742E-2</v>
      </c>
    </row>
    <row r="7" spans="1:6" x14ac:dyDescent="0.35">
      <c r="A7" s="2">
        <v>45666</v>
      </c>
      <c r="B7" s="1">
        <v>1364</v>
      </c>
      <c r="C7">
        <f t="shared" si="0"/>
        <v>5.0103153551429077E-3</v>
      </c>
    </row>
    <row r="8" spans="1:6" x14ac:dyDescent="0.35">
      <c r="A8" s="2">
        <v>45665</v>
      </c>
      <c r="B8" s="1">
        <v>1357.2</v>
      </c>
      <c r="C8">
        <f t="shared" si="0"/>
        <v>-2.3737591713422528E-2</v>
      </c>
    </row>
    <row r="9" spans="1:6" x14ac:dyDescent="0.35">
      <c r="A9" s="2">
        <v>45664</v>
      </c>
      <c r="B9" s="1">
        <v>1390.2</v>
      </c>
      <c r="C9">
        <f t="shared" si="0"/>
        <v>-7.3570571771291393E-2</v>
      </c>
    </row>
    <row r="10" spans="1:6" x14ac:dyDescent="0.35">
      <c r="A10" s="2">
        <v>45663</v>
      </c>
      <c r="B10" s="1">
        <v>1500.6</v>
      </c>
      <c r="C10">
        <f t="shared" si="0"/>
        <v>5.6091209796607651E-2</v>
      </c>
    </row>
    <row r="11" spans="1:6" x14ac:dyDescent="0.35">
      <c r="A11" s="2">
        <v>45662</v>
      </c>
      <c r="B11" s="1">
        <v>1420.9</v>
      </c>
      <c r="C11">
        <f t="shared" si="0"/>
        <v>1.1316725978647751E-2</v>
      </c>
    </row>
    <row r="12" spans="1:6" x14ac:dyDescent="0.35">
      <c r="A12" s="2">
        <v>45661</v>
      </c>
      <c r="B12" s="1">
        <v>1405</v>
      </c>
      <c r="C12">
        <f t="shared" si="0"/>
        <v>0.10187436279507497</v>
      </c>
    </row>
    <row r="13" spans="1:6" x14ac:dyDescent="0.35">
      <c r="A13" s="2">
        <v>45660</v>
      </c>
      <c r="B13" s="1">
        <v>1275.0999999999999</v>
      </c>
      <c r="C13" t="e">
        <f t="shared" si="0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FA645-D2D5-45BB-917E-B67460D7E0CF}">
  <dimension ref="A1:F25"/>
  <sheetViews>
    <sheetView workbookViewId="0">
      <selection activeCell="E4" sqref="E4"/>
    </sheetView>
  </sheetViews>
  <sheetFormatPr defaultRowHeight="14.5" x14ac:dyDescent="0.35"/>
  <cols>
    <col min="1" max="1" width="10.81640625" customWidth="1"/>
    <col min="3" max="3" width="13.90625" customWidth="1"/>
  </cols>
  <sheetData>
    <row r="1" spans="1:6" x14ac:dyDescent="0.35">
      <c r="A1" t="s">
        <v>1</v>
      </c>
      <c r="B1" t="s">
        <v>0</v>
      </c>
      <c r="C1" t="s">
        <v>2</v>
      </c>
    </row>
    <row r="2" spans="1:6" x14ac:dyDescent="0.35">
      <c r="A2" s="2">
        <v>46024</v>
      </c>
      <c r="B2" s="1">
        <v>2637.4</v>
      </c>
      <c r="C2">
        <f>(B3-B2)/B2</f>
        <v>0.18446197012208992</v>
      </c>
      <c r="E2">
        <f>_xlfn.COVARIANCE.S(C2:C12, NIFTY!C2:C12) / _xlfn.VAR.S(NIFTY!C2:C12)</f>
        <v>0.7284576816572238</v>
      </c>
      <c r="F2" t="s">
        <v>3</v>
      </c>
    </row>
    <row r="3" spans="1:6" x14ac:dyDescent="0.35">
      <c r="A3" s="2">
        <v>46023</v>
      </c>
      <c r="B3" s="1">
        <v>3123.9</v>
      </c>
      <c r="C3">
        <f t="shared" ref="C3:C15" si="0">(B3-B4)/B4</f>
        <v>-1.1424050632911364E-2</v>
      </c>
      <c r="E3">
        <f>0.06 + (E2*(NIFTY!E3-0.06))</f>
        <v>8.9093375223479293E-2</v>
      </c>
      <c r="F3" t="s">
        <v>4</v>
      </c>
    </row>
    <row r="4" spans="1:6" x14ac:dyDescent="0.35">
      <c r="A4" s="2">
        <v>45669</v>
      </c>
      <c r="B4" s="1">
        <v>3160</v>
      </c>
      <c r="C4">
        <f t="shared" si="0"/>
        <v>2.1896393934592175E-2</v>
      </c>
      <c r="E4">
        <f>AVERAGE(C2:C12)*12</f>
        <v>5.8734973140475807E-2</v>
      </c>
      <c r="F4" t="s">
        <v>5</v>
      </c>
    </row>
    <row r="5" spans="1:6" x14ac:dyDescent="0.35">
      <c r="A5" s="2">
        <v>45668</v>
      </c>
      <c r="B5" s="1">
        <v>3092.29</v>
      </c>
      <c r="C5">
        <f t="shared" si="0"/>
        <v>2.5995872512392385E-2</v>
      </c>
    </row>
    <row r="6" spans="1:6" x14ac:dyDescent="0.35">
      <c r="A6" s="2">
        <v>45667</v>
      </c>
      <c r="B6" s="1">
        <v>3013.94</v>
      </c>
      <c r="C6">
        <f t="shared" si="0"/>
        <v>4.3463509209250781E-2</v>
      </c>
    </row>
    <row r="7" spans="1:6" x14ac:dyDescent="0.35">
      <c r="A7" s="2">
        <v>45666</v>
      </c>
      <c r="B7" s="1">
        <v>2888.4</v>
      </c>
      <c r="C7">
        <f t="shared" si="0"/>
        <v>-6.3636658346030328E-2</v>
      </c>
    </row>
    <row r="8" spans="1:6" x14ac:dyDescent="0.35">
      <c r="A8" s="2">
        <v>45665</v>
      </c>
      <c r="B8" s="1">
        <v>3084.7</v>
      </c>
      <c r="C8">
        <f t="shared" si="0"/>
        <v>1.577318229715478E-2</v>
      </c>
    </row>
    <row r="9" spans="1:6" x14ac:dyDescent="0.35">
      <c r="A9" s="2">
        <v>45664</v>
      </c>
      <c r="B9" s="1">
        <v>3036.8</v>
      </c>
      <c r="C9">
        <f t="shared" si="0"/>
        <v>-0.12281917966493351</v>
      </c>
    </row>
    <row r="10" spans="1:6" x14ac:dyDescent="0.35">
      <c r="A10" s="2">
        <v>45663</v>
      </c>
      <c r="B10" s="1">
        <v>3462</v>
      </c>
      <c r="C10">
        <f t="shared" si="0"/>
        <v>-4.0422706011436477E-4</v>
      </c>
    </row>
    <row r="11" spans="1:6" x14ac:dyDescent="0.35">
      <c r="A11" s="2">
        <v>45662</v>
      </c>
      <c r="B11" s="1">
        <v>3463.4</v>
      </c>
      <c r="C11">
        <f t="shared" si="0"/>
        <v>2.808582100356219E-3</v>
      </c>
    </row>
    <row r="12" spans="1:6" x14ac:dyDescent="0.35">
      <c r="A12" s="2">
        <v>45661</v>
      </c>
      <c r="B12" s="1">
        <v>3453.7</v>
      </c>
      <c r="C12">
        <f t="shared" si="0"/>
        <v>-4.227500242641051E-2</v>
      </c>
    </row>
    <row r="13" spans="1:6" x14ac:dyDescent="0.35">
      <c r="A13" s="2">
        <v>45660</v>
      </c>
      <c r="B13" s="1">
        <v>3606.15</v>
      </c>
      <c r="C13" t="e">
        <f t="shared" si="0"/>
        <v>#DIV/0!</v>
      </c>
    </row>
    <row r="14" spans="1:6" x14ac:dyDescent="0.35">
      <c r="A14" s="2"/>
      <c r="B14" s="1"/>
    </row>
    <row r="15" spans="1:6" x14ac:dyDescent="0.35">
      <c r="A15" s="2"/>
      <c r="B15" s="1"/>
    </row>
    <row r="16" spans="1:6" x14ac:dyDescent="0.35">
      <c r="A16" s="2"/>
      <c r="B16" s="1"/>
    </row>
    <row r="17" spans="1:2" x14ac:dyDescent="0.35">
      <c r="A17" s="2"/>
      <c r="B17" s="1"/>
    </row>
    <row r="18" spans="1:2" x14ac:dyDescent="0.35">
      <c r="A18" s="2"/>
      <c r="B18" s="1"/>
    </row>
    <row r="19" spans="1:2" x14ac:dyDescent="0.35">
      <c r="A19" s="2"/>
      <c r="B19" s="1"/>
    </row>
    <row r="20" spans="1:2" x14ac:dyDescent="0.35">
      <c r="A20" s="2"/>
      <c r="B20" s="1"/>
    </row>
    <row r="21" spans="1:2" x14ac:dyDescent="0.35">
      <c r="A21" s="2"/>
      <c r="B21" s="1"/>
    </row>
    <row r="22" spans="1:2" x14ac:dyDescent="0.35">
      <c r="A22" s="2"/>
      <c r="B22" s="1"/>
    </row>
    <row r="23" spans="1:2" x14ac:dyDescent="0.35">
      <c r="A23" s="2"/>
      <c r="B23" s="1"/>
    </row>
    <row r="24" spans="1:2" x14ac:dyDescent="0.35">
      <c r="A24" s="2"/>
      <c r="B24" s="1"/>
    </row>
    <row r="25" spans="1:2" x14ac:dyDescent="0.35">
      <c r="A25" s="2"/>
      <c r="B2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AE565-C206-4F41-B949-106A0090A87A}">
  <dimension ref="A1:F13"/>
  <sheetViews>
    <sheetView workbookViewId="0">
      <selection activeCell="E4" sqref="E4"/>
    </sheetView>
  </sheetViews>
  <sheetFormatPr defaultRowHeight="14.5" x14ac:dyDescent="0.35"/>
  <cols>
    <col min="1" max="1" width="12.1796875" customWidth="1"/>
    <col min="3" max="3" width="13.90625" customWidth="1"/>
  </cols>
  <sheetData>
    <row r="1" spans="1:6" x14ac:dyDescent="0.35">
      <c r="A1" t="s">
        <v>1</v>
      </c>
      <c r="B1" t="s">
        <v>0</v>
      </c>
      <c r="C1" t="s">
        <v>2</v>
      </c>
    </row>
    <row r="2" spans="1:6" x14ac:dyDescent="0.35">
      <c r="A2" s="2">
        <v>46024</v>
      </c>
      <c r="B2">
        <v>887.75</v>
      </c>
      <c r="C2">
        <f>(B3-B2)/B2</f>
        <v>4.674739509997184E-2</v>
      </c>
      <c r="E2">
        <f>_xlfn.COVARIANCE.S(C2:C12, NIFTY!C2:C12) / _xlfn.VAR.S(NIFTY!C2:C12)</f>
        <v>1.1256152180603567</v>
      </c>
      <c r="F2" t="s">
        <v>3</v>
      </c>
    </row>
    <row r="3" spans="1:6" x14ac:dyDescent="0.35">
      <c r="A3" s="2">
        <v>46023</v>
      </c>
      <c r="B3">
        <v>929.25</v>
      </c>
      <c r="C3">
        <f t="shared" ref="C3:C13" si="0">(B3-B4)/B4</f>
        <v>-6.2500000000000042E-2</v>
      </c>
      <c r="E3">
        <f>0.06 + (E2*(NIFTY!E3-0.06))</f>
        <v>0.10495517958131437</v>
      </c>
      <c r="F3" t="s">
        <v>4</v>
      </c>
    </row>
    <row r="4" spans="1:6" x14ac:dyDescent="0.35">
      <c r="A4" s="2">
        <v>45669</v>
      </c>
      <c r="B4">
        <v>991.2</v>
      </c>
      <c r="C4">
        <f t="shared" si="0"/>
        <v>-1.6276300119094856E-2</v>
      </c>
      <c r="E4">
        <f>AVERAGE(C2:C12)*12</f>
        <v>7.8907936242558555E-2</v>
      </c>
      <c r="F4" t="s">
        <v>5</v>
      </c>
    </row>
    <row r="5" spans="1:6" x14ac:dyDescent="0.35">
      <c r="A5" s="2">
        <v>45668</v>
      </c>
      <c r="B5" s="1">
        <v>1007.6</v>
      </c>
      <c r="C5">
        <f t="shared" si="0"/>
        <v>2.0561126304061653E-2</v>
      </c>
    </row>
    <row r="6" spans="1:6" x14ac:dyDescent="0.35">
      <c r="A6" s="2">
        <v>45667</v>
      </c>
      <c r="B6">
        <v>987.3</v>
      </c>
      <c r="C6">
        <f t="shared" si="0"/>
        <v>3.8170347003154526E-2</v>
      </c>
    </row>
    <row r="7" spans="1:6" x14ac:dyDescent="0.35">
      <c r="A7" s="2">
        <v>45666</v>
      </c>
      <c r="B7">
        <v>951</v>
      </c>
      <c r="C7">
        <f t="shared" si="0"/>
        <v>-6.3051702395967076E-4</v>
      </c>
    </row>
    <row r="8" spans="1:6" x14ac:dyDescent="0.35">
      <c r="A8" s="2">
        <v>45665</v>
      </c>
      <c r="B8">
        <v>951.6</v>
      </c>
      <c r="C8">
        <f t="shared" si="0"/>
        <v>-5.6981468635417698E-2</v>
      </c>
    </row>
    <row r="9" spans="1:6" x14ac:dyDescent="0.35">
      <c r="A9" s="2">
        <v>45664</v>
      </c>
      <c r="B9" s="1">
        <v>1009.1</v>
      </c>
      <c r="C9">
        <f t="shared" si="0"/>
        <v>1.0848768369278894E-2</v>
      </c>
    </row>
    <row r="10" spans="1:6" x14ac:dyDescent="0.35">
      <c r="A10" s="2">
        <v>45663</v>
      </c>
      <c r="B10">
        <v>998.27</v>
      </c>
      <c r="C10">
        <f t="shared" si="0"/>
        <v>2.9101892705455466E-2</v>
      </c>
    </row>
    <row r="11" spans="1:6" x14ac:dyDescent="0.35">
      <c r="A11" s="2">
        <v>45662</v>
      </c>
      <c r="B11">
        <v>970.04</v>
      </c>
      <c r="C11">
        <f t="shared" si="0"/>
        <v>1.0342564914436836E-2</v>
      </c>
    </row>
    <row r="12" spans="1:6" x14ac:dyDescent="0.35">
      <c r="A12" s="2">
        <v>45661</v>
      </c>
      <c r="B12">
        <v>960.11</v>
      </c>
      <c r="C12">
        <f t="shared" si="0"/>
        <v>5.2948466271125066E-2</v>
      </c>
    </row>
    <row r="13" spans="1:6" x14ac:dyDescent="0.35">
      <c r="A13" s="2">
        <v>45660</v>
      </c>
      <c r="B13">
        <v>911.83</v>
      </c>
      <c r="C13" t="e">
        <f t="shared" si="0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BBCD5-FE27-4E23-B9BD-84DA4DFF4B5A}">
  <dimension ref="A1:F13"/>
  <sheetViews>
    <sheetView workbookViewId="0">
      <selection activeCell="E4" sqref="E4"/>
    </sheetView>
  </sheetViews>
  <sheetFormatPr defaultRowHeight="14.5" x14ac:dyDescent="0.35"/>
  <cols>
    <col min="1" max="1" width="10.90625" customWidth="1"/>
    <col min="3" max="3" width="13.90625" customWidth="1"/>
  </cols>
  <sheetData>
    <row r="1" spans="1:6" x14ac:dyDescent="0.35">
      <c r="A1" t="s">
        <v>1</v>
      </c>
      <c r="B1" t="s">
        <v>0</v>
      </c>
      <c r="C1" t="s">
        <v>2</v>
      </c>
    </row>
    <row r="2" spans="1:6" x14ac:dyDescent="0.35">
      <c r="A2" s="2">
        <v>46024</v>
      </c>
      <c r="B2" s="1">
        <v>1300.0999999999999</v>
      </c>
      <c r="C2">
        <f>(B3-B2)/B2</f>
        <v>0.26221059918467821</v>
      </c>
      <c r="E2">
        <f>_xlfn.COVARIANCE.S(C2:C12, NIFTY!C2:C12) / _xlfn.VAR.S(NIFTY!C2:C12)</f>
        <v>0.37030279284109524</v>
      </c>
      <c r="F2" t="s">
        <v>3</v>
      </c>
    </row>
    <row r="3" spans="1:6" x14ac:dyDescent="0.35">
      <c r="A3" s="2">
        <v>46023</v>
      </c>
      <c r="B3" s="1">
        <v>1641</v>
      </c>
      <c r="C3">
        <f t="shared" ref="C3:C13" si="0">(B3-B4)/B4</f>
        <v>1.5847468119351189E-2</v>
      </c>
      <c r="E3">
        <f>0.06 + (E2*(NIFTY!E3-0.06))</f>
        <v>7.4789271044433461E-2</v>
      </c>
      <c r="F3" t="s">
        <v>4</v>
      </c>
    </row>
    <row r="4" spans="1:6" x14ac:dyDescent="0.35">
      <c r="A4" s="2">
        <v>45669</v>
      </c>
      <c r="B4" s="1">
        <v>1615.4</v>
      </c>
      <c r="C4">
        <f t="shared" si="0"/>
        <v>3.5446445740657771E-2</v>
      </c>
      <c r="E4">
        <f>AVERAGE(C2:C12)*12</f>
        <v>0.34140272682984391</v>
      </c>
      <c r="F4" t="s">
        <v>5</v>
      </c>
    </row>
    <row r="5" spans="1:6" x14ac:dyDescent="0.35">
      <c r="A5" s="2">
        <v>45668</v>
      </c>
      <c r="B5" s="1">
        <v>1560.1</v>
      </c>
      <c r="C5">
        <f t="shared" si="0"/>
        <v>5.2486001484179964E-2</v>
      </c>
    </row>
    <row r="6" spans="1:6" x14ac:dyDescent="0.35">
      <c r="A6" s="2">
        <v>45667</v>
      </c>
      <c r="B6" s="1">
        <v>1482.3</v>
      </c>
      <c r="C6">
        <f t="shared" si="0"/>
        <v>2.8089887640449437E-2</v>
      </c>
    </row>
    <row r="7" spans="1:6" x14ac:dyDescent="0.35">
      <c r="A7" s="2">
        <v>45666</v>
      </c>
      <c r="B7" s="1">
        <v>1441.8</v>
      </c>
      <c r="C7">
        <f t="shared" si="0"/>
        <v>-1.8916712030484457E-2</v>
      </c>
    </row>
    <row r="8" spans="1:6" x14ac:dyDescent="0.35">
      <c r="A8" s="2">
        <v>45665</v>
      </c>
      <c r="B8" s="1">
        <v>1469.6</v>
      </c>
      <c r="C8">
        <f t="shared" si="0"/>
        <v>-2.6110006626905297E-2</v>
      </c>
    </row>
    <row r="9" spans="1:6" x14ac:dyDescent="0.35">
      <c r="A9" s="2">
        <v>45664</v>
      </c>
      <c r="B9" s="1">
        <v>1509</v>
      </c>
      <c r="C9">
        <f t="shared" si="0"/>
        <v>-5.7934823323760744E-2</v>
      </c>
    </row>
    <row r="10" spans="1:6" x14ac:dyDescent="0.35">
      <c r="A10" s="2">
        <v>45663</v>
      </c>
      <c r="B10" s="1">
        <v>1601.8</v>
      </c>
      <c r="C10">
        <f t="shared" si="0"/>
        <v>2.5020797337940683E-2</v>
      </c>
    </row>
    <row r="11" spans="1:6" x14ac:dyDescent="0.35">
      <c r="A11" s="2">
        <v>45662</v>
      </c>
      <c r="B11" s="1">
        <v>1562.7</v>
      </c>
      <c r="C11">
        <f t="shared" si="0"/>
        <v>4.173055129658032E-2</v>
      </c>
    </row>
    <row r="12" spans="1:6" x14ac:dyDescent="0.35">
      <c r="A12" s="2">
        <v>45661</v>
      </c>
      <c r="B12" s="1">
        <v>1500.1</v>
      </c>
      <c r="C12">
        <f t="shared" si="0"/>
        <v>-4.4917709228663408E-2</v>
      </c>
    </row>
    <row r="13" spans="1:6" x14ac:dyDescent="0.35">
      <c r="A13" s="2">
        <v>45660</v>
      </c>
      <c r="B13" s="1">
        <v>1570.65</v>
      </c>
      <c r="C13" t="e">
        <f t="shared" si="0"/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FA6BA-5071-46B6-ACD8-F0850E7D6B7A}">
  <dimension ref="A1:F13"/>
  <sheetViews>
    <sheetView workbookViewId="0">
      <selection activeCell="E4" sqref="E4"/>
    </sheetView>
  </sheetViews>
  <sheetFormatPr defaultRowHeight="14.5" x14ac:dyDescent="0.35"/>
  <cols>
    <col min="1" max="1" width="12.1796875" customWidth="1"/>
    <col min="3" max="3" width="14.08984375" customWidth="1"/>
  </cols>
  <sheetData>
    <row r="1" spans="1:6" x14ac:dyDescent="0.35">
      <c r="A1" t="s">
        <v>1</v>
      </c>
      <c r="B1" t="s">
        <v>0</v>
      </c>
      <c r="C1" t="s">
        <v>2</v>
      </c>
    </row>
    <row r="2" spans="1:6" x14ac:dyDescent="0.35">
      <c r="A2" s="2">
        <v>46024</v>
      </c>
      <c r="B2" s="1">
        <v>1378.9</v>
      </c>
      <c r="C2">
        <f>(B3-B2)/B2</f>
        <v>-1.7332656465298493E-2</v>
      </c>
      <c r="E2">
        <f>_xlfn.COVARIANCE.S(C2:C12, NIFTY!C2:C12) / _xlfn.VAR.S(NIFTY!C2:C12)</f>
        <v>0.36689715836377368</v>
      </c>
      <c r="F2" t="s">
        <v>3</v>
      </c>
    </row>
    <row r="3" spans="1:6" x14ac:dyDescent="0.35">
      <c r="A3" s="2">
        <v>46023</v>
      </c>
      <c r="B3" s="1">
        <v>1355</v>
      </c>
      <c r="C3">
        <f t="shared" ref="C3:C13" si="0">(B3-B4)/B4</f>
        <v>9.0103507334871602E-3</v>
      </c>
      <c r="E3">
        <f>0.06 + (E2*(NIFTY!E3-0.06))</f>
        <v>7.4653255728489062E-2</v>
      </c>
      <c r="F3" t="s">
        <v>4</v>
      </c>
    </row>
    <row r="4" spans="1:6" x14ac:dyDescent="0.35">
      <c r="A4" s="2">
        <v>45669</v>
      </c>
      <c r="B4" s="1">
        <v>1342.9</v>
      </c>
      <c r="C4">
        <f t="shared" si="0"/>
        <v>-3.3050115207373172E-2</v>
      </c>
      <c r="E4">
        <f>AVERAGE(C2:C12)*12</f>
        <v>-7.606932275517491E-3</v>
      </c>
      <c r="F4" t="s">
        <v>5</v>
      </c>
    </row>
    <row r="5" spans="1:6" x14ac:dyDescent="0.35">
      <c r="A5" s="2">
        <v>45668</v>
      </c>
      <c r="B5" s="1">
        <v>1388.8</v>
      </c>
      <c r="C5">
        <f t="shared" si="0"/>
        <v>3.2334795212963653E-2</v>
      </c>
    </row>
    <row r="6" spans="1:6" x14ac:dyDescent="0.35">
      <c r="A6" s="2">
        <v>45667</v>
      </c>
      <c r="B6" s="1">
        <v>1345.3</v>
      </c>
      <c r="C6">
        <f t="shared" si="0"/>
        <v>-2.002967359050479E-3</v>
      </c>
    </row>
    <row r="7" spans="1:6" x14ac:dyDescent="0.35">
      <c r="A7" s="2">
        <v>45666</v>
      </c>
      <c r="B7" s="1">
        <v>1348</v>
      </c>
      <c r="C7">
        <f t="shared" si="0"/>
        <v>-3.5627414508513346E-2</v>
      </c>
    </row>
    <row r="8" spans="1:6" x14ac:dyDescent="0.35">
      <c r="A8" s="2">
        <v>45665</v>
      </c>
      <c r="B8" s="1">
        <v>1397.8</v>
      </c>
      <c r="C8">
        <f t="shared" si="0"/>
        <v>-5.6433103820710227E-2</v>
      </c>
    </row>
    <row r="9" spans="1:6" x14ac:dyDescent="0.35">
      <c r="A9" s="2">
        <v>45664</v>
      </c>
      <c r="B9" s="1">
        <v>1481.4</v>
      </c>
      <c r="C9">
        <f t="shared" si="0"/>
        <v>2.4623046064462677E-2</v>
      </c>
    </row>
    <row r="10" spans="1:6" x14ac:dyDescent="0.35">
      <c r="A10" s="2">
        <v>45663</v>
      </c>
      <c r="B10" s="1">
        <v>1445.8</v>
      </c>
      <c r="C10">
        <f t="shared" si="0"/>
        <v>0</v>
      </c>
    </row>
    <row r="11" spans="1:6" x14ac:dyDescent="0.35">
      <c r="A11" s="2">
        <v>45662</v>
      </c>
      <c r="B11" s="1">
        <v>1445.8</v>
      </c>
      <c r="C11">
        <f t="shared" si="0"/>
        <v>1.3174491941135217E-2</v>
      </c>
    </row>
    <row r="12" spans="1:6" x14ac:dyDescent="0.35">
      <c r="A12" s="2">
        <v>45661</v>
      </c>
      <c r="B12" s="1">
        <v>1427</v>
      </c>
      <c r="C12">
        <f t="shared" si="0"/>
        <v>5.8330552156339303E-2</v>
      </c>
    </row>
    <row r="13" spans="1:6" x14ac:dyDescent="0.35">
      <c r="A13" s="2">
        <v>45660</v>
      </c>
      <c r="B13" s="1">
        <v>1348.35</v>
      </c>
      <c r="C13" t="e">
        <f t="shared" si="0"/>
        <v>#DIV/0!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404A1-B1C6-4E9F-92AE-DB2DD8910830}">
  <dimension ref="A1:E13"/>
  <sheetViews>
    <sheetView workbookViewId="0">
      <selection activeCell="E3" sqref="E3"/>
    </sheetView>
  </sheetViews>
  <sheetFormatPr defaultRowHeight="14.5" x14ac:dyDescent="0.35"/>
  <cols>
    <col min="3" max="3" width="14.6328125" customWidth="1"/>
  </cols>
  <sheetData>
    <row r="1" spans="1:5" x14ac:dyDescent="0.35">
      <c r="A1" t="s">
        <v>1</v>
      </c>
      <c r="B1" t="s">
        <v>0</v>
      </c>
      <c r="C1" t="s">
        <v>2</v>
      </c>
    </row>
    <row r="2" spans="1:5" x14ac:dyDescent="0.35">
      <c r="A2" s="3">
        <v>46054</v>
      </c>
      <c r="B2">
        <v>176.04400000000001</v>
      </c>
      <c r="C2">
        <f>(B3-B2)/B2</f>
        <v>5.2884506146189765E-3</v>
      </c>
      <c r="E2">
        <f>AVERAGE(C2:C12)</f>
        <v>8.3281932449039194E-3</v>
      </c>
    </row>
    <row r="3" spans="1:5" x14ac:dyDescent="0.35">
      <c r="A3" s="3">
        <v>46023</v>
      </c>
      <c r="B3">
        <v>176.97499999999999</v>
      </c>
      <c r="C3">
        <f t="shared" ref="C3:C13" si="0">(B3-B4)/B4</f>
        <v>-3.054488882558843E-2</v>
      </c>
      <c r="E3">
        <f>E2*12</f>
        <v>9.9938318938847026E-2</v>
      </c>
    </row>
    <row r="4" spans="1:5" x14ac:dyDescent="0.35">
      <c r="A4" s="3">
        <v>45992</v>
      </c>
      <c r="B4">
        <v>182.55099999999999</v>
      </c>
      <c r="C4">
        <f t="shared" si="0"/>
        <v>-2.9547986804449415E-3</v>
      </c>
    </row>
    <row r="5" spans="1:5" x14ac:dyDescent="0.35">
      <c r="A5" s="3">
        <v>45962</v>
      </c>
      <c r="B5">
        <v>183.09200000000001</v>
      </c>
      <c r="C5">
        <f t="shared" si="0"/>
        <v>1.9176496128518829E-2</v>
      </c>
    </row>
    <row r="6" spans="1:5" x14ac:dyDescent="0.35">
      <c r="A6" s="3">
        <v>45931</v>
      </c>
      <c r="B6">
        <v>179.64699999999999</v>
      </c>
      <c r="C6">
        <f t="shared" si="0"/>
        <v>4.6003982625505001E-2</v>
      </c>
    </row>
    <row r="7" spans="1:5" x14ac:dyDescent="0.35">
      <c r="A7" s="3">
        <v>45901</v>
      </c>
      <c r="B7">
        <v>171.74600000000001</v>
      </c>
      <c r="C7">
        <f t="shared" si="0"/>
        <v>7.4792780003637314E-3</v>
      </c>
    </row>
    <row r="8" spans="1:5" x14ac:dyDescent="0.35">
      <c r="A8" s="3">
        <v>45870</v>
      </c>
      <c r="B8">
        <v>170.471</v>
      </c>
      <c r="C8">
        <f>(B8-B9)/B9</f>
        <v>-1.2226143086434691E-2</v>
      </c>
    </row>
    <row r="9" spans="1:5" x14ac:dyDescent="0.35">
      <c r="A9" s="3">
        <v>45839</v>
      </c>
      <c r="B9">
        <v>172.58099999999999</v>
      </c>
      <c r="C9">
        <f t="shared" si="0"/>
        <v>-2.7778403713551825E-2</v>
      </c>
    </row>
    <row r="10" spans="1:5" x14ac:dyDescent="0.35">
      <c r="A10" s="3">
        <v>45809</v>
      </c>
      <c r="B10">
        <v>177.512</v>
      </c>
      <c r="C10">
        <f t="shared" si="0"/>
        <v>3.3422405411856565E-2</v>
      </c>
    </row>
    <row r="11" spans="1:5" x14ac:dyDescent="0.35">
      <c r="A11" s="3">
        <v>45778</v>
      </c>
      <c r="B11">
        <v>171.77099999999999</v>
      </c>
      <c r="C11">
        <f t="shared" si="0"/>
        <v>1.9067733763652644E-2</v>
      </c>
    </row>
    <row r="12" spans="1:5" x14ac:dyDescent="0.35">
      <c r="A12" s="3">
        <v>45748</v>
      </c>
      <c r="B12">
        <v>168.55699999999999</v>
      </c>
      <c r="C12">
        <f t="shared" si="0"/>
        <v>3.4676013455447255E-2</v>
      </c>
    </row>
    <row r="13" spans="1:5" x14ac:dyDescent="0.35">
      <c r="A13" s="3">
        <v>45717</v>
      </c>
      <c r="B13">
        <v>162.90799999999999</v>
      </c>
      <c r="C13" t="e">
        <f t="shared" si="0"/>
        <v>#DIV/0!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186E3-EBB3-44A0-B5F7-57553497FAA5}">
  <dimension ref="A1:D6"/>
  <sheetViews>
    <sheetView tabSelected="1" zoomScale="140" workbookViewId="0">
      <selection sqref="A1:D6"/>
    </sheetView>
  </sheetViews>
  <sheetFormatPr defaultRowHeight="14.5" x14ac:dyDescent="0.35"/>
  <cols>
    <col min="1" max="1" width="9.90625" bestFit="1" customWidth="1"/>
    <col min="3" max="3" width="16.6328125" customWidth="1"/>
    <col min="4" max="4" width="14.26953125" customWidth="1"/>
  </cols>
  <sheetData>
    <row r="1" spans="1:4" x14ac:dyDescent="0.35">
      <c r="A1" t="s">
        <v>6</v>
      </c>
      <c r="B1" t="s">
        <v>7</v>
      </c>
      <c r="C1" t="s">
        <v>8</v>
      </c>
      <c r="D1" t="s">
        <v>9</v>
      </c>
    </row>
    <row r="2" spans="1:4" x14ac:dyDescent="0.35">
      <c r="A2" t="s">
        <v>10</v>
      </c>
      <c r="B2">
        <v>2.4616447528835605</v>
      </c>
      <c r="C2">
        <v>0.15831395325480291</v>
      </c>
      <c r="D2">
        <v>0.12302345188807737</v>
      </c>
    </row>
    <row r="3" spans="1:4" x14ac:dyDescent="0.35">
      <c r="A3" t="s">
        <v>11</v>
      </c>
      <c r="B3">
        <v>0.7284576816572238</v>
      </c>
      <c r="C3">
        <v>8.9093375223479293E-2</v>
      </c>
      <c r="D3">
        <v>5.8734973140475807E-2</v>
      </c>
    </row>
    <row r="4" spans="1:4" x14ac:dyDescent="0.35">
      <c r="A4" t="s">
        <v>12</v>
      </c>
      <c r="B4">
        <v>1.1256152180603567</v>
      </c>
      <c r="C4">
        <v>0.10495517958131437</v>
      </c>
      <c r="D4">
        <v>7.8907936242558555E-2</v>
      </c>
    </row>
    <row r="5" spans="1:4" x14ac:dyDescent="0.35">
      <c r="A5" t="s">
        <v>13</v>
      </c>
      <c r="B5">
        <v>0.37030279284109524</v>
      </c>
      <c r="C5">
        <v>7.4789271044433461E-2</v>
      </c>
      <c r="D5">
        <v>0.34140272682984391</v>
      </c>
    </row>
    <row r="6" spans="1:4" x14ac:dyDescent="0.35">
      <c r="A6" t="s">
        <v>14</v>
      </c>
      <c r="B6">
        <v>0.36689715836377368</v>
      </c>
      <c r="C6">
        <v>7.4653255728489062E-2</v>
      </c>
      <c r="D6">
        <v>-7.606932275517491E-3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Reliance</vt:lpstr>
      <vt:lpstr>TCS</vt:lpstr>
      <vt:lpstr>HDFC Bank</vt:lpstr>
      <vt:lpstr>Infosys</vt:lpstr>
      <vt:lpstr>ICICI Bank</vt:lpstr>
      <vt:lpstr>NIFTY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Meharine Fathima</dc:creator>
  <cp:lastModifiedBy>Meharine Fathima</cp:lastModifiedBy>
  <dcterms:created xsi:type="dcterms:W3CDTF">2026-02-28T06:10:15Z</dcterms:created>
  <dcterms:modified xsi:type="dcterms:W3CDTF">2026-02-28T07:40:57Z</dcterms:modified>
</cp:coreProperties>
</file>